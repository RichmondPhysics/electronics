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rawick\Box\github\electronics\electronics_manual\bjt_saturation\"/>
    </mc:Choice>
  </mc:AlternateContent>
  <xr:revisionPtr revIDLastSave="0" documentId="13_ncr:1_{B9D429F3-8653-47EC-9CE8-BF1BFFF4E45E}" xr6:coauthVersionLast="47" xr6:coauthVersionMax="47" xr10:uidLastSave="{00000000-0000-0000-0000-000000000000}"/>
  <bookViews>
    <workbookView xWindow="-96" yWindow="-96" windowWidth="23232" windowHeight="14592" xr2:uid="{D8B4C2AB-3ADE-46D1-ACF4-8429420E63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G9" i="1"/>
  <c r="H11" i="1"/>
  <c r="H12" i="1"/>
  <c r="H13" i="1"/>
  <c r="H14" i="1"/>
  <c r="H10" i="1"/>
  <c r="G14" i="1"/>
  <c r="G13" i="1"/>
  <c r="G12" i="1"/>
  <c r="G11" i="1"/>
  <c r="G10" i="1"/>
</calcChain>
</file>

<file path=xl/sharedStrings.xml><?xml version="1.0" encoding="utf-8"?>
<sst xmlns="http://schemas.openxmlformats.org/spreadsheetml/2006/main" count="35" uniqueCount="18">
  <si>
    <t>BASE</t>
  </si>
  <si>
    <t>EMITTER</t>
  </si>
  <si>
    <t>COLLECTOR</t>
  </si>
  <si>
    <r>
      <rPr>
        <sz val="11"/>
        <color theme="1"/>
        <rFont val="Tahoma"/>
        <family val="2"/>
      </rPr>
      <t>I</t>
    </r>
    <r>
      <rPr>
        <b/>
        <sz val="11"/>
        <color theme="1"/>
        <rFont val="Aptos Narrow"/>
        <family val="2"/>
        <scheme val="minor"/>
      </rPr>
      <t xml:space="preserve"> (mA)</t>
    </r>
  </si>
  <si>
    <t>V (volts)</t>
  </si>
  <si>
    <t>h_FE</t>
  </si>
  <si>
    <t>V_B - V_E</t>
  </si>
  <si>
    <t>BJT MODE</t>
  </si>
  <si>
    <t>--</t>
  </si>
  <si>
    <t xml:space="preserve">pA  </t>
  </si>
  <si>
    <t>V_supply</t>
  </si>
  <si>
    <t>cutoff mode</t>
  </si>
  <si>
    <t>(All currents =0)</t>
  </si>
  <si>
    <t>saturation mode</t>
  </si>
  <si>
    <t>active mode</t>
  </si>
  <si>
    <t>(V_C &lt; B_B)</t>
  </si>
  <si>
    <t>(V_B - V_E ~ 0.7V, I_C / I_B ~ constant</t>
  </si>
  <si>
    <t>(All currents~0)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</si>
</sst>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6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 style="thick">
        <color theme="1"/>
      </left>
      <right/>
      <top/>
      <bottom style="thick">
        <color auto="1"/>
      </bottom>
      <diagonal/>
    </border>
    <border>
      <left/>
      <right style="thick">
        <color theme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 style="thick">
        <color theme="1"/>
      </left>
      <right/>
      <top/>
      <bottom style="thin">
        <color indexed="64"/>
      </bottom>
      <diagonal/>
    </border>
    <border>
      <left/>
      <right style="thick">
        <color theme="1"/>
      </right>
      <top/>
      <bottom style="thin">
        <color indexed="64"/>
      </bottom>
      <diagonal/>
    </border>
    <border>
      <left style="thick">
        <color auto="1"/>
      </left>
      <right style="thick">
        <color auto="1"/>
      </right>
      <top/>
      <bottom style="thin">
        <color indexed="64"/>
      </bottom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/>
    <xf numFmtId="166" fontId="0" fillId="0" borderId="0" xfId="0" applyNumberFormat="1"/>
    <xf numFmtId="0" fontId="0" fillId="0" borderId="0" xfId="0" applyBorder="1"/>
    <xf numFmtId="49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5" fontId="0" fillId="3" borderId="2" xfId="0" applyNumberForma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2" borderId="3" xfId="0" applyNumberForma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8" xfId="0" applyBorder="1"/>
    <xf numFmtId="0" fontId="0" fillId="0" borderId="10" xfId="0" applyBorder="1" applyAlignment="1">
      <alignment horizontal="center"/>
    </xf>
    <xf numFmtId="2" fontId="0" fillId="2" borderId="11" xfId="0" applyNumberFormat="1" applyFill="1" applyBorder="1" applyAlignment="1">
      <alignment horizontal="center"/>
    </xf>
    <xf numFmtId="165" fontId="0" fillId="3" borderId="12" xfId="0" applyNumberFormat="1" applyFill="1" applyBorder="1" applyAlignment="1">
      <alignment horizontal="center"/>
    </xf>
    <xf numFmtId="2" fontId="0" fillId="2" borderId="10" xfId="0" applyNumberFormat="1" applyFill="1" applyBorder="1" applyAlignment="1">
      <alignment horizontal="center"/>
    </xf>
    <xf numFmtId="2" fontId="0" fillId="3" borderId="10" xfId="0" applyNumberFormat="1" applyFill="1" applyBorder="1" applyAlignment="1">
      <alignment horizontal="center"/>
    </xf>
    <xf numFmtId="2" fontId="0" fillId="2" borderId="13" xfId="0" applyNumberFormat="1" applyFill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0" fontId="0" fillId="0" borderId="14" xfId="0" applyBorder="1"/>
    <xf numFmtId="0" fontId="0" fillId="0" borderId="10" xfId="0" applyBorder="1"/>
    <xf numFmtId="166" fontId="0" fillId="0" borderId="10" xfId="0" applyNumberFormat="1" applyBorder="1"/>
    <xf numFmtId="2" fontId="0" fillId="0" borderId="10" xfId="0" applyNumberFormat="1" applyBorder="1"/>
    <xf numFmtId="2" fontId="0" fillId="2" borderId="15" xfId="0" applyNumberForma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64014-076C-49C6-9F01-3DF32737F2A7}">
  <dimension ref="A5:J17"/>
  <sheetViews>
    <sheetView tabSelected="1" topLeftCell="A4" zoomScale="175" zoomScaleNormal="175" workbookViewId="0">
      <selection activeCell="D18" sqref="D18"/>
    </sheetView>
  </sheetViews>
  <sheetFormatPr defaultRowHeight="14.4" x14ac:dyDescent="0.55000000000000004"/>
  <cols>
    <col min="6" max="6" width="12" customWidth="1"/>
    <col min="9" max="9" width="13.41796875" customWidth="1"/>
    <col min="10" max="10" width="11.9453125" customWidth="1"/>
  </cols>
  <sheetData>
    <row r="5" spans="1:10" x14ac:dyDescent="0.55000000000000004">
      <c r="B5" s="8" t="s">
        <v>0</v>
      </c>
      <c r="C5" s="9"/>
      <c r="D5" s="3" t="s">
        <v>1</v>
      </c>
      <c r="E5" s="3"/>
      <c r="F5" s="10" t="s">
        <v>2</v>
      </c>
      <c r="G5" s="2"/>
    </row>
    <row r="6" spans="1:10" s="2" customFormat="1" ht="14.7" thickBot="1" x14ac:dyDescent="0.6">
      <c r="A6" s="16" t="s">
        <v>10</v>
      </c>
      <c r="B6" s="17" t="s">
        <v>4</v>
      </c>
      <c r="C6" s="18" t="s">
        <v>3</v>
      </c>
      <c r="D6" s="19" t="s">
        <v>4</v>
      </c>
      <c r="E6" s="36" t="s">
        <v>3</v>
      </c>
      <c r="F6" s="20" t="s">
        <v>4</v>
      </c>
      <c r="G6" s="16" t="s">
        <v>5</v>
      </c>
      <c r="H6" s="16" t="s">
        <v>6</v>
      </c>
      <c r="I6" s="22" t="s">
        <v>7</v>
      </c>
      <c r="J6" s="21"/>
    </row>
    <row r="7" spans="1:10" ht="14.7" thickTop="1" x14ac:dyDescent="0.55000000000000004">
      <c r="A7" s="1">
        <v>0</v>
      </c>
      <c r="B7" s="11">
        <v>0.872</v>
      </c>
      <c r="C7" s="12">
        <v>0</v>
      </c>
      <c r="D7" s="14">
        <v>0</v>
      </c>
      <c r="E7" s="12" t="s">
        <v>9</v>
      </c>
      <c r="F7" s="35">
        <v>5</v>
      </c>
      <c r="G7" s="7" t="s">
        <v>8</v>
      </c>
      <c r="H7" s="7" t="s">
        <v>8</v>
      </c>
      <c r="I7" s="23" t="s">
        <v>11</v>
      </c>
      <c r="J7" t="s">
        <v>17</v>
      </c>
    </row>
    <row r="8" spans="1:10" x14ac:dyDescent="0.55000000000000004">
      <c r="A8" s="24">
        <v>0.3</v>
      </c>
      <c r="B8" s="25">
        <v>0.3</v>
      </c>
      <c r="C8" s="26" t="s">
        <v>9</v>
      </c>
      <c r="D8" s="27">
        <v>0</v>
      </c>
      <c r="E8" s="28" t="s">
        <v>9</v>
      </c>
      <c r="F8" s="29">
        <v>5</v>
      </c>
      <c r="G8" s="30" t="s">
        <v>8</v>
      </c>
      <c r="H8" s="30" t="s">
        <v>8</v>
      </c>
      <c r="I8" s="31" t="s">
        <v>11</v>
      </c>
      <c r="J8" s="32" t="s">
        <v>12</v>
      </c>
    </row>
    <row r="9" spans="1:10" x14ac:dyDescent="0.55000000000000004">
      <c r="A9" s="1">
        <v>0.8</v>
      </c>
      <c r="B9" s="11">
        <v>0.74</v>
      </c>
      <c r="C9" s="12">
        <v>6.0000000000000001E-3</v>
      </c>
      <c r="D9" s="14">
        <v>0.08</v>
      </c>
      <c r="E9" s="13">
        <v>0.81</v>
      </c>
      <c r="F9" s="15">
        <v>4.1900000000000004</v>
      </c>
      <c r="G9" s="5">
        <f>E9/C9</f>
        <v>135</v>
      </c>
      <c r="H9" s="4">
        <f>B9-D9</f>
        <v>0.66</v>
      </c>
      <c r="I9" s="23" t="s">
        <v>14</v>
      </c>
      <c r="J9" t="s">
        <v>16</v>
      </c>
    </row>
    <row r="10" spans="1:10" x14ac:dyDescent="0.55000000000000004">
      <c r="A10" s="1">
        <v>1</v>
      </c>
      <c r="B10" s="11">
        <v>0.872</v>
      </c>
      <c r="C10" s="12">
        <v>1.2800000000000001E-2</v>
      </c>
      <c r="D10" s="14">
        <v>0.19</v>
      </c>
      <c r="E10" s="13">
        <v>1.9</v>
      </c>
      <c r="F10" s="15">
        <v>3.11</v>
      </c>
      <c r="G10" s="5">
        <f>E10/C10</f>
        <v>148.4375</v>
      </c>
      <c r="H10" s="4">
        <f>B10-D10</f>
        <v>0.68199999999999994</v>
      </c>
      <c r="I10" s="23" t="s">
        <v>14</v>
      </c>
      <c r="J10" t="s">
        <v>16</v>
      </c>
    </row>
    <row r="11" spans="1:10" x14ac:dyDescent="0.55000000000000004">
      <c r="A11" s="24">
        <v>1.2</v>
      </c>
      <c r="B11" s="25">
        <v>1</v>
      </c>
      <c r="C11" s="26">
        <v>0.02</v>
      </c>
      <c r="D11" s="27">
        <v>0.30499999999999999</v>
      </c>
      <c r="E11" s="28">
        <v>3.05</v>
      </c>
      <c r="F11" s="29">
        <v>1.97</v>
      </c>
      <c r="G11" s="33">
        <f>E11/C11</f>
        <v>152.5</v>
      </c>
      <c r="H11" s="34">
        <f t="shared" ref="H11:H14" si="0">B11-D11</f>
        <v>0.69500000000000006</v>
      </c>
      <c r="I11" s="31" t="s">
        <v>14</v>
      </c>
      <c r="J11" s="32" t="s">
        <v>16</v>
      </c>
    </row>
    <row r="12" spans="1:10" x14ac:dyDescent="0.55000000000000004">
      <c r="A12" s="1">
        <v>1.5</v>
      </c>
      <c r="B12" s="11">
        <v>1.1499999999999999</v>
      </c>
      <c r="C12" s="12">
        <v>3.5299999999999998E-2</v>
      </c>
      <c r="D12" s="14">
        <v>0.441</v>
      </c>
      <c r="E12" s="13">
        <v>4.41</v>
      </c>
      <c r="F12" s="15">
        <v>0.623</v>
      </c>
      <c r="G12" s="5">
        <f>E12/C12</f>
        <v>124.92917847025497</v>
      </c>
      <c r="H12" s="4">
        <f t="shared" si="0"/>
        <v>0.70899999999999985</v>
      </c>
      <c r="I12" s="23" t="s">
        <v>13</v>
      </c>
      <c r="J12" t="s">
        <v>15</v>
      </c>
    </row>
    <row r="13" spans="1:10" x14ac:dyDescent="0.55000000000000004">
      <c r="A13" s="1">
        <v>2</v>
      </c>
      <c r="B13" s="11">
        <v>1.1599999999999999</v>
      </c>
      <c r="C13" s="12">
        <v>8.4199999999999997E-2</v>
      </c>
      <c r="D13" s="14">
        <v>0.45100000000000001</v>
      </c>
      <c r="E13" s="13">
        <v>4.51</v>
      </c>
      <c r="F13" s="15">
        <v>0.57899999999999996</v>
      </c>
      <c r="G13" s="5">
        <f>E13/C13</f>
        <v>53.562945368171022</v>
      </c>
      <c r="H13" s="4">
        <f t="shared" si="0"/>
        <v>0.70899999999999985</v>
      </c>
      <c r="I13" s="23" t="s">
        <v>13</v>
      </c>
      <c r="J13" t="s">
        <v>15</v>
      </c>
    </row>
    <row r="14" spans="1:10" x14ac:dyDescent="0.55000000000000004">
      <c r="A14" s="1">
        <v>5</v>
      </c>
      <c r="B14" s="11">
        <v>1.19</v>
      </c>
      <c r="C14" s="12">
        <v>0.38100000000000001</v>
      </c>
      <c r="D14" s="14">
        <v>0.48199999999999998</v>
      </c>
      <c r="E14" s="13">
        <v>4.82</v>
      </c>
      <c r="F14" s="15">
        <v>0.56499999999999995</v>
      </c>
      <c r="G14" s="5">
        <f>E14/C14</f>
        <v>12.650918635170605</v>
      </c>
      <c r="H14" s="4">
        <f t="shared" si="0"/>
        <v>0.70799999999999996</v>
      </c>
      <c r="I14" s="23" t="s">
        <v>13</v>
      </c>
      <c r="J14" t="s">
        <v>15</v>
      </c>
    </row>
    <row r="17" spans="2:2" x14ac:dyDescent="0.55000000000000004">
      <c r="B17" s="6"/>
    </row>
  </sheetData>
  <mergeCells count="3">
    <mergeCell ref="B5:C5"/>
    <mergeCell ref="D5:E5"/>
    <mergeCell ref="I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Richmond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Trawick, Matt</dc:creator>
  <cp:lastModifiedBy>Trawick, Matt</cp:lastModifiedBy>
  <dcterms:created xsi:type="dcterms:W3CDTF">2025-04-18T15:53:01Z</dcterms:created>
  <dcterms:modified xsi:type="dcterms:W3CDTF">2025-04-18T19:15:55Z</dcterms:modified>
</cp:coreProperties>
</file>